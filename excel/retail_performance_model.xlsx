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livery KPIs" sheetId="2" state="visible" r:id="rId2"/>
    <sheet xmlns:r="http://schemas.openxmlformats.org/officeDocument/2006/relationships" name="Category Performance" sheetId="3" state="visible" r:id="rId3"/>
    <sheet xmlns:r="http://schemas.openxmlformats.org/officeDocument/2006/relationships" name="RFM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"/>
    <numFmt numFmtId="167" formatCode="+0.0;-0.0;0.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1F4E79"/>
      <sz val="18"/>
    </font>
    <font>
      <name val="Calibri"/>
      <b val="1"/>
      <color rgb="00595959"/>
      <sz val="9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applyAlignment="1" pivotButton="0" quotePrefix="0" xfId="0">
      <alignment horizontal="center" vertical="center" wrapText="1"/>
    </xf>
    <xf numFmtId="3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center" vertical="center" wrapText="1"/>
    </xf>
    <xf numFmtId="2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7" fillId="4" borderId="2" pivotButton="0" quotePrefix="0" xfId="0"/>
    <xf numFmtId="164" fontId="7" fillId="4" borderId="2" applyAlignment="1" pivotButton="0" quotePrefix="0" xfId="0">
      <alignment horizontal="right" vertical="center"/>
    </xf>
    <xf numFmtId="3" fontId="7" fillId="4" borderId="2" applyAlignment="1" pivotButton="0" quotePrefix="0" xfId="0">
      <alignment horizontal="right" vertical="center"/>
    </xf>
    <xf numFmtId="165" fontId="7" fillId="4" borderId="2" applyAlignment="1" pivotButton="0" quotePrefix="0" xfId="0">
      <alignment horizontal="right" vertical="center"/>
    </xf>
    <xf numFmtId="2" fontId="7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6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25" customWidth="1" min="2" max="2"/>
    <col width="19" customWidth="1" min="3" max="3"/>
    <col width="20" customWidth="1" min="4" max="4"/>
    <col width="19" customWidth="1" min="5" max="5"/>
    <col width="16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OLIST BRAZILIAN E-COMMERCE: EXECUTIVE PERFORMANCE COMMAND CENTER</t>
        </is>
      </c>
    </row>
    <row r="2">
      <c r="A2" s="2" t="inlineStr">
        <is>
          <t>Strategic Portfolio Overview, Sales Velocity &amp; SLA Operations</t>
        </is>
      </c>
    </row>
    <row r="3"/>
    <row r="4">
      <c r="B4" s="3">
        <f>SUM(C10:C34)</f>
        <v/>
      </c>
      <c r="D4" s="4">
        <f>SUM(D10:D34)</f>
        <v/>
      </c>
      <c r="F4" s="5">
        <f>AVERAGE(F10:F34)</f>
        <v/>
      </c>
      <c r="H4" s="6">
        <f>AVERAGE(G10:G34)</f>
        <v/>
      </c>
    </row>
    <row r="5">
      <c r="B5" s="7" t="inlineStr">
        <is>
          <t>Total GMV (BRL)</t>
        </is>
      </c>
      <c r="D5" s="7" t="inlineStr">
        <is>
          <t>Delivered Orders</t>
        </is>
      </c>
      <c r="F5" s="7" t="inlineStr">
        <is>
          <t>Late Delivery %</t>
        </is>
      </c>
      <c r="H5" s="7" t="inlineStr">
        <is>
          <t>Average Review Score</t>
        </is>
      </c>
    </row>
    <row r="6"/>
    <row r="7"/>
    <row r="8">
      <c r="A8" s="8" t="inlineStr">
        <is>
          <t>MONTHLY REVENUE &amp; OPERATIONAL SLA PERFORMANCE</t>
        </is>
      </c>
    </row>
    <row r="9">
      <c r="A9" s="9" t="inlineStr">
        <is>
          <t>Month (YYYY-MM)</t>
        </is>
      </c>
      <c r="B9" s="10" t="inlineStr">
        <is>
          <t>Merchandise Rev (BRL)</t>
        </is>
      </c>
      <c r="C9" s="10" t="inlineStr">
        <is>
          <t>Total GMV (BRL)</t>
        </is>
      </c>
      <c r="D9" s="10" t="inlineStr">
        <is>
          <t>Delivered Orders</t>
        </is>
      </c>
      <c r="E9" s="10" t="inlineStr">
        <is>
          <t>Late Deliveries</t>
        </is>
      </c>
      <c r="F9" s="10" t="inlineStr">
        <is>
          <t>Late Order %</t>
        </is>
      </c>
      <c r="G9" s="10" t="inlineStr">
        <is>
          <t>Avg Review Score</t>
        </is>
      </c>
    </row>
    <row r="10">
      <c r="A10" s="11" t="inlineStr">
        <is>
          <t>2016-10</t>
        </is>
      </c>
      <c r="B10" s="12" t="n">
        <v>851.3</v>
      </c>
      <c r="C10" s="12" t="n">
        <v>996.64</v>
      </c>
      <c r="D10" s="13" t="n">
        <v>5</v>
      </c>
      <c r="E10" s="13" t="n">
        <v>1</v>
      </c>
      <c r="F10" s="14">
        <f>IF(D10&gt;0, E10/D10, 0)</f>
        <v/>
      </c>
      <c r="G10" s="15" t="n">
        <v>4.5</v>
      </c>
    </row>
    <row r="11">
      <c r="A11" s="11" t="inlineStr">
        <is>
          <t>2016-11</t>
        </is>
      </c>
      <c r="B11" s="12" t="n">
        <v>417.75</v>
      </c>
      <c r="C11" s="12" t="n">
        <v>531.77</v>
      </c>
      <c r="D11" s="13" t="n">
        <v>3</v>
      </c>
      <c r="E11" s="13" t="n">
        <v>0</v>
      </c>
      <c r="F11" s="14">
        <f>IF(D11&gt;0, E11/D11, 0)</f>
        <v/>
      </c>
      <c r="G11" s="15" t="n">
        <v>4.5</v>
      </c>
    </row>
    <row r="12">
      <c r="A12" s="11" t="inlineStr">
        <is>
          <t>2016-12</t>
        </is>
      </c>
      <c r="B12" s="12" t="n">
        <v>598.46</v>
      </c>
      <c r="C12" s="12" t="n">
        <v>698.5</v>
      </c>
      <c r="D12" s="13" t="n">
        <v>4</v>
      </c>
      <c r="E12" s="13" t="n">
        <v>0</v>
      </c>
      <c r="F12" s="14">
        <f>IF(D12&gt;0, E12/D12, 0)</f>
        <v/>
      </c>
      <c r="G12" s="15" t="n">
        <v>5</v>
      </c>
    </row>
    <row r="13">
      <c r="A13" s="11" t="inlineStr">
        <is>
          <t>2017-01</t>
        </is>
      </c>
      <c r="B13" s="12" t="n">
        <v>977.91</v>
      </c>
      <c r="C13" s="12" t="n">
        <v>1355.02</v>
      </c>
      <c r="D13" s="13" t="n">
        <v>10</v>
      </c>
      <c r="E13" s="13" t="n">
        <v>0</v>
      </c>
      <c r="F13" s="14">
        <f>IF(D13&gt;0, E13/D13, 0)</f>
        <v/>
      </c>
      <c r="G13" s="15" t="n">
        <v>4.55</v>
      </c>
    </row>
    <row r="14">
      <c r="A14" s="11" t="inlineStr">
        <is>
          <t>2017-02</t>
        </is>
      </c>
      <c r="B14" s="12" t="n">
        <v>253.32</v>
      </c>
      <c r="C14" s="12" t="n">
        <v>313.71</v>
      </c>
      <c r="D14" s="13" t="n">
        <v>2</v>
      </c>
      <c r="E14" s="13" t="n">
        <v>0</v>
      </c>
      <c r="F14" s="14">
        <f>IF(D14&gt;0, E14/D14, 0)</f>
        <v/>
      </c>
      <c r="G14" s="15" t="n">
        <v>5</v>
      </c>
    </row>
    <row r="15">
      <c r="A15" s="11" t="inlineStr">
        <is>
          <t>2017-03</t>
        </is>
      </c>
      <c r="B15" s="12" t="n">
        <v>593.53</v>
      </c>
      <c r="C15" s="12" t="n">
        <v>810.9</v>
      </c>
      <c r="D15" s="13" t="n">
        <v>5</v>
      </c>
      <c r="E15" s="13" t="n">
        <v>2</v>
      </c>
      <c r="F15" s="14">
        <f>IF(D15&gt;0, E15/D15, 0)</f>
        <v/>
      </c>
      <c r="G15" s="15" t="n">
        <v>3</v>
      </c>
    </row>
    <row r="16">
      <c r="A16" s="11" t="inlineStr">
        <is>
          <t>2017-04</t>
        </is>
      </c>
      <c r="B16" s="12" t="n">
        <v>100.89</v>
      </c>
      <c r="C16" s="12" t="n">
        <v>129.04</v>
      </c>
      <c r="D16" s="13" t="n">
        <v>1</v>
      </c>
      <c r="E16" s="13" t="n">
        <v>0</v>
      </c>
      <c r="F16" s="14">
        <f>IF(D16&gt;0, E16/D16, 0)</f>
        <v/>
      </c>
      <c r="G16" s="15" t="n">
        <v>5</v>
      </c>
    </row>
    <row r="17">
      <c r="A17" s="11" t="inlineStr">
        <is>
          <t>2017-05</t>
        </is>
      </c>
      <c r="B17" s="12" t="n">
        <v>875.8200000000001</v>
      </c>
      <c r="C17" s="12" t="n">
        <v>1088.7</v>
      </c>
      <c r="D17" s="13" t="n">
        <v>7</v>
      </c>
      <c r="E17" s="13" t="n">
        <v>2</v>
      </c>
      <c r="F17" s="14">
        <f>IF(D17&gt;0, E17/D17, 0)</f>
        <v/>
      </c>
      <c r="G17" s="15" t="n">
        <v>3.43</v>
      </c>
    </row>
    <row r="18">
      <c r="A18" s="11" t="inlineStr">
        <is>
          <t>2017-06</t>
        </is>
      </c>
      <c r="B18" s="12" t="n">
        <v>680.8</v>
      </c>
      <c r="C18" s="12" t="n">
        <v>877.88</v>
      </c>
      <c r="D18" s="13" t="n">
        <v>6</v>
      </c>
      <c r="E18" s="13" t="n">
        <v>1</v>
      </c>
      <c r="F18" s="14">
        <f>IF(D18&gt;0, E18/D18, 0)</f>
        <v/>
      </c>
      <c r="G18" s="15" t="n">
        <v>4.17</v>
      </c>
    </row>
    <row r="19">
      <c r="A19" s="11" t="inlineStr">
        <is>
          <t>2017-07</t>
        </is>
      </c>
      <c r="B19" s="12" t="n">
        <v>832.58</v>
      </c>
      <c r="C19" s="12" t="n">
        <v>1011.56</v>
      </c>
      <c r="D19" s="13" t="n">
        <v>5</v>
      </c>
      <c r="E19" s="13" t="n">
        <v>0</v>
      </c>
      <c r="F19" s="14">
        <f>IF(D19&gt;0, E19/D19, 0)</f>
        <v/>
      </c>
      <c r="G19" s="15" t="n">
        <v>5</v>
      </c>
    </row>
    <row r="20">
      <c r="A20" s="11" t="inlineStr">
        <is>
          <t>2017-08</t>
        </is>
      </c>
      <c r="B20" s="12" t="n">
        <v>352.2</v>
      </c>
      <c r="C20" s="12" t="n">
        <v>425.13</v>
      </c>
      <c r="D20" s="13" t="n">
        <v>2</v>
      </c>
      <c r="E20" s="13" t="n">
        <v>1</v>
      </c>
      <c r="F20" s="14">
        <f>IF(D20&gt;0, E20/D20, 0)</f>
        <v/>
      </c>
      <c r="G20" s="15" t="n">
        <v>2.5</v>
      </c>
    </row>
    <row r="21">
      <c r="A21" s="11" t="inlineStr">
        <is>
          <t>2017-09</t>
        </is>
      </c>
      <c r="B21" s="12" t="n">
        <v>118.65</v>
      </c>
      <c r="C21" s="12" t="n">
        <v>210.29</v>
      </c>
      <c r="D21" s="13" t="n">
        <v>3</v>
      </c>
      <c r="E21" s="13" t="n">
        <v>0</v>
      </c>
      <c r="F21" s="14">
        <f>IF(D21&gt;0, E21/D21, 0)</f>
        <v/>
      </c>
      <c r="G21" s="15" t="n">
        <v>4.67</v>
      </c>
    </row>
    <row r="22">
      <c r="A22" s="11" t="inlineStr">
        <is>
          <t>2017-10</t>
        </is>
      </c>
      <c r="B22" s="12" t="n">
        <v>1117.57</v>
      </c>
      <c r="C22" s="12" t="n">
        <v>1276.7</v>
      </c>
      <c r="D22" s="13" t="n">
        <v>5</v>
      </c>
      <c r="E22" s="13" t="n">
        <v>0</v>
      </c>
      <c r="F22" s="14">
        <f>IF(D22&gt;0, E22/D22, 0)</f>
        <v/>
      </c>
      <c r="G22" s="15" t="n">
        <v>4.83</v>
      </c>
    </row>
    <row r="23">
      <c r="A23" s="11" t="inlineStr">
        <is>
          <t>2017-11</t>
        </is>
      </c>
      <c r="B23" s="12" t="n">
        <v>170.49</v>
      </c>
      <c r="C23" s="12" t="n">
        <v>199.46</v>
      </c>
      <c r="D23" s="13" t="n">
        <v>1</v>
      </c>
      <c r="E23" s="13" t="n">
        <v>0</v>
      </c>
      <c r="F23" s="14">
        <f>IF(D23&gt;0, E23/D23, 0)</f>
        <v/>
      </c>
      <c r="G23" s="15" t="n">
        <v>5</v>
      </c>
    </row>
    <row r="24">
      <c r="A24" s="11" t="inlineStr">
        <is>
          <t>2017-12</t>
        </is>
      </c>
      <c r="B24" s="12" t="n">
        <v>524.59</v>
      </c>
      <c r="C24" s="12" t="n">
        <v>685.83</v>
      </c>
      <c r="D24" s="13" t="n">
        <v>5</v>
      </c>
      <c r="E24" s="13" t="n">
        <v>0</v>
      </c>
      <c r="F24" s="14">
        <f>IF(D24&gt;0, E24/D24, 0)</f>
        <v/>
      </c>
      <c r="G24" s="15" t="n">
        <v>5</v>
      </c>
    </row>
    <row r="25">
      <c r="A25" s="11" t="inlineStr">
        <is>
          <t>2018-01</t>
        </is>
      </c>
      <c r="B25" s="12" t="n">
        <v>678.48</v>
      </c>
      <c r="C25" s="12" t="n">
        <v>917.42</v>
      </c>
      <c r="D25" s="13" t="n">
        <v>7</v>
      </c>
      <c r="E25" s="13" t="n">
        <v>0</v>
      </c>
      <c r="F25" s="14">
        <f>IF(D25&gt;0, E25/D25, 0)</f>
        <v/>
      </c>
      <c r="G25" s="15" t="n">
        <v>3.88</v>
      </c>
    </row>
    <row r="26">
      <c r="A26" s="11" t="inlineStr">
        <is>
          <t>2018-02</t>
        </is>
      </c>
      <c r="B26" s="12" t="n">
        <v>549.86</v>
      </c>
      <c r="C26" s="12" t="n">
        <v>650.01</v>
      </c>
      <c r="D26" s="13" t="n">
        <v>3</v>
      </c>
      <c r="E26" s="13" t="n">
        <v>1</v>
      </c>
      <c r="F26" s="14">
        <f>IF(D26&gt;0, E26/D26, 0)</f>
        <v/>
      </c>
      <c r="G26" s="15" t="n">
        <v>4.75</v>
      </c>
    </row>
    <row r="27">
      <c r="A27" s="11" t="inlineStr">
        <is>
          <t>2018-03</t>
        </is>
      </c>
      <c r="B27" s="12" t="n">
        <v>149.43</v>
      </c>
      <c r="C27" s="12" t="n">
        <v>178.69</v>
      </c>
      <c r="D27" s="13" t="n">
        <v>1</v>
      </c>
      <c r="E27" s="13" t="n">
        <v>0</v>
      </c>
      <c r="F27" s="14">
        <f>IF(D27&gt;0, E27/D27, 0)</f>
        <v/>
      </c>
      <c r="G27" s="15" t="n">
        <v>5</v>
      </c>
    </row>
    <row r="28">
      <c r="A28" s="11" t="inlineStr">
        <is>
          <t>2018-04</t>
        </is>
      </c>
      <c r="B28" s="12" t="n">
        <v>619.04</v>
      </c>
      <c r="C28" s="12" t="n">
        <v>807.3099999999999</v>
      </c>
      <c r="D28" s="13" t="n">
        <v>4</v>
      </c>
      <c r="E28" s="13" t="n">
        <v>0</v>
      </c>
      <c r="F28" s="14">
        <f>IF(D28&gt;0, E28/D28, 0)</f>
        <v/>
      </c>
      <c r="G28" s="15" t="n">
        <v>5</v>
      </c>
    </row>
    <row r="29">
      <c r="A29" s="11" t="inlineStr">
        <is>
          <t>2018-05</t>
        </is>
      </c>
      <c r="B29" s="12" t="n">
        <v>309.96</v>
      </c>
      <c r="C29" s="12" t="n">
        <v>392.31</v>
      </c>
      <c r="D29" s="13" t="n">
        <v>3</v>
      </c>
      <c r="E29" s="13" t="n">
        <v>0</v>
      </c>
      <c r="F29" s="14">
        <f>IF(D29&gt;0, E29/D29, 0)</f>
        <v/>
      </c>
      <c r="G29" s="15" t="n">
        <v>3.33</v>
      </c>
    </row>
    <row r="30">
      <c r="A30" s="11" t="inlineStr">
        <is>
          <t>2018-06</t>
        </is>
      </c>
      <c r="B30" s="12" t="n">
        <v>711.74</v>
      </c>
      <c r="C30" s="12" t="n">
        <v>993.8200000000001</v>
      </c>
      <c r="D30" s="13" t="n">
        <v>7</v>
      </c>
      <c r="E30" s="13" t="n">
        <v>2</v>
      </c>
      <c r="F30" s="14">
        <f>IF(D30&gt;0, E30/D30, 0)</f>
        <v/>
      </c>
      <c r="G30" s="15" t="n">
        <v>4</v>
      </c>
    </row>
    <row r="31">
      <c r="A31" s="11" t="inlineStr">
        <is>
          <t>2018-07</t>
        </is>
      </c>
      <c r="B31" s="12" t="n">
        <v>792.67</v>
      </c>
      <c r="C31" s="12" t="n">
        <v>1036.25</v>
      </c>
      <c r="D31" s="13" t="n">
        <v>6</v>
      </c>
      <c r="E31" s="13" t="n">
        <v>1</v>
      </c>
      <c r="F31" s="14">
        <f>IF(D31&gt;0, E31/D31, 0)</f>
        <v/>
      </c>
      <c r="G31" s="15" t="n">
        <v>3.86</v>
      </c>
    </row>
    <row r="32">
      <c r="A32" s="11" t="inlineStr">
        <is>
          <t>2018-08</t>
        </is>
      </c>
      <c r="B32" s="12" t="n">
        <v>648.78</v>
      </c>
      <c r="C32" s="12" t="n">
        <v>798.58</v>
      </c>
      <c r="D32" s="13" t="n">
        <v>4</v>
      </c>
      <c r="E32" s="13" t="n">
        <v>1</v>
      </c>
      <c r="F32" s="14">
        <f>IF(D32&gt;0, E32/D32, 0)</f>
        <v/>
      </c>
      <c r="G32" s="15" t="n">
        <v>3.75</v>
      </c>
    </row>
    <row r="33">
      <c r="A33" s="16" t="inlineStr">
        <is>
          <t>Total / Portfolio Avg</t>
        </is>
      </c>
      <c r="B33" s="17">
        <f>SUM(B10:B32)</f>
        <v/>
      </c>
      <c r="C33" s="17">
        <f>SUM(C10:C32)</f>
        <v/>
      </c>
      <c r="D33" s="18">
        <f>SUM(D10:D32)</f>
        <v/>
      </c>
      <c r="E33" s="18">
        <f>SUM(E10:E32)</f>
        <v/>
      </c>
      <c r="F33" s="19">
        <f>E33/D33</f>
        <v/>
      </c>
      <c r="G33" s="20">
        <f>AVERAGE(G10:G32)</f>
        <v/>
      </c>
    </row>
  </sheetData>
  <mergeCells count="8">
    <mergeCell ref="F4:G4"/>
    <mergeCell ref="B5:C5"/>
    <mergeCell ref="F5:G5"/>
    <mergeCell ref="D5:E5"/>
    <mergeCell ref="H5:I5"/>
    <mergeCell ref="D4:E4"/>
    <mergeCell ref="H4:I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BRAZILIAN STATE LOGISTICS DELIVERY SLA &amp; PERFORMANCE MATRIX</t>
        </is>
      </c>
    </row>
    <row r="2">
      <c r="A2" s="2" t="inlineStr">
        <is>
          <t>Regional Benchmarking, Carrier Lead Times &amp; Late Delivery Bottlenecks</t>
        </is>
      </c>
    </row>
    <row r="3"/>
    <row r="4"/>
    <row r="5">
      <c r="A5" s="9" t="inlineStr">
        <is>
          <t>State</t>
        </is>
      </c>
      <c r="B5" s="9" t="inlineStr">
        <is>
          <t>Macro-Region</t>
        </is>
      </c>
      <c r="C5" s="10" t="inlineStr">
        <is>
          <t>Total Orders</t>
        </is>
      </c>
      <c r="D5" s="10" t="inlineStr">
        <is>
          <t>Late Orders</t>
        </is>
      </c>
      <c r="E5" s="10" t="inlineStr">
        <is>
          <t>Late Delivery %</t>
        </is>
      </c>
      <c r="F5" s="10" t="inlineStr">
        <is>
          <t>Avg Actual Days</t>
        </is>
      </c>
      <c r="G5" s="10" t="inlineStr">
        <is>
          <t>Avg Estimated Days</t>
        </is>
      </c>
      <c r="H5" s="10" t="inlineStr">
        <is>
          <t>Delivery SLA Gap</t>
        </is>
      </c>
    </row>
    <row r="6">
      <c r="A6" s="11" t="inlineStr">
        <is>
          <t>RO</t>
        </is>
      </c>
      <c r="B6" s="21" t="inlineStr">
        <is>
          <t>North</t>
        </is>
      </c>
      <c r="C6" s="13" t="n">
        <v>1</v>
      </c>
      <c r="D6" s="13" t="n">
        <v>1</v>
      </c>
      <c r="E6" s="14">
        <f>IF(C6&gt;0, D6/C6, 0)</f>
        <v/>
      </c>
      <c r="F6" s="22" t="n">
        <v>23</v>
      </c>
      <c r="G6" s="22" t="n">
        <v>15</v>
      </c>
      <c r="H6" s="23">
        <f>F6-G6</f>
        <v/>
      </c>
    </row>
    <row r="7">
      <c r="A7" s="11" t="inlineStr">
        <is>
          <t>RR</t>
        </is>
      </c>
      <c r="B7" s="21" t="inlineStr">
        <is>
          <t>North</t>
        </is>
      </c>
      <c r="C7" s="13" t="n">
        <v>1</v>
      </c>
      <c r="D7" s="13" t="n">
        <v>1</v>
      </c>
      <c r="E7" s="14">
        <f>IF(C7&gt;0, D7/C7, 0)</f>
        <v/>
      </c>
      <c r="F7" s="22" t="n">
        <v>33</v>
      </c>
      <c r="G7" s="22" t="n">
        <v>21</v>
      </c>
      <c r="H7" s="23">
        <f>F7-G7</f>
        <v/>
      </c>
    </row>
    <row r="8">
      <c r="A8" s="11" t="inlineStr">
        <is>
          <t>SE</t>
        </is>
      </c>
      <c r="B8" s="21" t="inlineStr">
        <is>
          <t>Northeast</t>
        </is>
      </c>
      <c r="C8" s="13" t="n">
        <v>1</v>
      </c>
      <c r="D8" s="13" t="n">
        <v>1</v>
      </c>
      <c r="E8" s="14">
        <f>IF(C8&gt;0, D8/C8, 0)</f>
        <v/>
      </c>
      <c r="F8" s="22" t="n">
        <v>28</v>
      </c>
      <c r="G8" s="22" t="n">
        <v>24</v>
      </c>
      <c r="H8" s="23">
        <f>F8-G8</f>
        <v/>
      </c>
    </row>
    <row r="9">
      <c r="A9" s="11" t="inlineStr">
        <is>
          <t>RS</t>
        </is>
      </c>
      <c r="B9" s="21" t="inlineStr">
        <is>
          <t>South</t>
        </is>
      </c>
      <c r="C9" s="13" t="n">
        <v>6</v>
      </c>
      <c r="D9" s="13" t="n">
        <v>2</v>
      </c>
      <c r="E9" s="14">
        <f>IF(C9&gt;0, D9/C9, 0)</f>
        <v/>
      </c>
      <c r="F9" s="22" t="n">
        <v>22</v>
      </c>
      <c r="G9" s="22" t="n">
        <v>24.8</v>
      </c>
      <c r="H9" s="23">
        <f>F9-G9</f>
        <v/>
      </c>
    </row>
    <row r="10">
      <c r="A10" s="11" t="inlineStr">
        <is>
          <t>PR</t>
        </is>
      </c>
      <c r="B10" s="21" t="inlineStr">
        <is>
          <t>South</t>
        </is>
      </c>
      <c r="C10" s="13" t="n">
        <v>5</v>
      </c>
      <c r="D10" s="13" t="n">
        <v>1</v>
      </c>
      <c r="E10" s="14">
        <f>IF(C10&gt;0, D10/C10, 0)</f>
        <v/>
      </c>
      <c r="F10" s="22" t="n">
        <v>17.8</v>
      </c>
      <c r="G10" s="22" t="n">
        <v>24.4</v>
      </c>
      <c r="H10" s="23">
        <f>F10-G10</f>
        <v/>
      </c>
    </row>
    <row r="11">
      <c r="A11" s="11" t="inlineStr">
        <is>
          <t>SP</t>
        </is>
      </c>
      <c r="B11" s="21" t="inlineStr">
        <is>
          <t>Southeast</t>
        </is>
      </c>
      <c r="C11" s="13" t="n">
        <v>50</v>
      </c>
      <c r="D11" s="13" t="n">
        <v>5</v>
      </c>
      <c r="E11" s="14">
        <f>IF(C11&gt;0, D11/C11, 0)</f>
        <v/>
      </c>
      <c r="F11" s="22" t="n">
        <v>18.4</v>
      </c>
      <c r="G11" s="22" t="n">
        <v>23.8</v>
      </c>
      <c r="H11" s="23">
        <f>F11-G11</f>
        <v/>
      </c>
    </row>
    <row r="12">
      <c r="A12" s="11" t="inlineStr">
        <is>
          <t>RJ</t>
        </is>
      </c>
      <c r="B12" s="21" t="inlineStr">
        <is>
          <t>Southeast</t>
        </is>
      </c>
      <c r="C12" s="13" t="n">
        <v>14</v>
      </c>
      <c r="D12" s="13" t="n">
        <v>1</v>
      </c>
      <c r="E12" s="14">
        <f>IF(C12&gt;0, D12/C12, 0)</f>
        <v/>
      </c>
      <c r="F12" s="22" t="n">
        <v>17.2</v>
      </c>
      <c r="G12" s="22" t="n">
        <v>23.9</v>
      </c>
      <c r="H12" s="23">
        <f>F12-G12</f>
        <v/>
      </c>
    </row>
    <row r="13">
      <c r="A13" s="11" t="inlineStr">
        <is>
          <t>CE</t>
        </is>
      </c>
      <c r="B13" s="21" t="inlineStr">
        <is>
          <t>Northeast</t>
        </is>
      </c>
      <c r="C13" s="13" t="n">
        <v>4</v>
      </c>
      <c r="D13" s="13" t="n">
        <v>0</v>
      </c>
      <c r="E13" s="14">
        <f>IF(C13&gt;0, D13/C13, 0)</f>
        <v/>
      </c>
      <c r="F13" s="22" t="n">
        <v>18</v>
      </c>
      <c r="G13" s="22" t="n">
        <v>26.8</v>
      </c>
      <c r="H13" s="23">
        <f>F13-G13</f>
        <v/>
      </c>
    </row>
    <row r="14">
      <c r="A14" s="11" t="inlineStr">
        <is>
          <t>ES</t>
        </is>
      </c>
      <c r="B14" s="21" t="inlineStr">
        <is>
          <t>Southeast</t>
        </is>
      </c>
      <c r="C14" s="13" t="n">
        <v>5</v>
      </c>
      <c r="D14" s="13" t="n">
        <v>0</v>
      </c>
      <c r="E14" s="14">
        <f>IF(C14&gt;0, D14/C14, 0)</f>
        <v/>
      </c>
      <c r="F14" s="22" t="n">
        <v>15.4</v>
      </c>
      <c r="G14" s="22" t="n">
        <v>24.8</v>
      </c>
      <c r="H14" s="23">
        <f>F14-G14</f>
        <v/>
      </c>
    </row>
    <row r="15">
      <c r="A15" s="11" t="inlineStr">
        <is>
          <t>MA</t>
        </is>
      </c>
      <c r="B15" s="21" t="inlineStr">
        <is>
          <t>Northeast</t>
        </is>
      </c>
      <c r="C15" s="13" t="n">
        <v>2</v>
      </c>
      <c r="D15" s="13" t="n">
        <v>0</v>
      </c>
      <c r="E15" s="14">
        <f>IF(C15&gt;0, D15/C15, 0)</f>
        <v/>
      </c>
      <c r="F15" s="22" t="n">
        <v>14.5</v>
      </c>
      <c r="G15" s="22" t="n">
        <v>19.5</v>
      </c>
      <c r="H15" s="23">
        <f>F15-G15</f>
        <v/>
      </c>
    </row>
    <row r="16">
      <c r="A16" s="11" t="inlineStr">
        <is>
          <t>MG</t>
        </is>
      </c>
      <c r="B16" s="21" t="inlineStr">
        <is>
          <t>Southeast</t>
        </is>
      </c>
      <c r="C16" s="13" t="n">
        <v>6</v>
      </c>
      <c r="D16" s="13" t="n">
        <v>0</v>
      </c>
      <c r="E16" s="14">
        <f>IF(C16&gt;0, D16/C16, 0)</f>
        <v/>
      </c>
      <c r="F16" s="22" t="n">
        <v>13</v>
      </c>
      <c r="G16" s="22" t="n">
        <v>20.6</v>
      </c>
      <c r="H16" s="23">
        <f>F16-G16</f>
        <v/>
      </c>
    </row>
    <row r="17">
      <c r="A17" s="11" t="inlineStr">
        <is>
          <t>PB</t>
        </is>
      </c>
      <c r="B17" s="21" t="inlineStr">
        <is>
          <t>Northeast</t>
        </is>
      </c>
      <c r="C17" s="13" t="n">
        <v>1</v>
      </c>
      <c r="D17" s="13" t="n">
        <v>0</v>
      </c>
      <c r="E17" s="14">
        <f>IF(C17&gt;0, D17/C17, 0)</f>
        <v/>
      </c>
      <c r="F17" s="22" t="n">
        <v>24</v>
      </c>
      <c r="G17" s="22" t="n">
        <v>28</v>
      </c>
      <c r="H17" s="23">
        <f>F17-G17</f>
        <v/>
      </c>
    </row>
    <row r="18">
      <c r="A18" s="11" t="inlineStr">
        <is>
          <t>SC</t>
        </is>
      </c>
      <c r="B18" s="21" t="inlineStr">
        <is>
          <t>South</t>
        </is>
      </c>
      <c r="C18" s="13" t="n">
        <v>3</v>
      </c>
      <c r="D18" s="13" t="n">
        <v>0</v>
      </c>
      <c r="E18" s="14">
        <f>IF(C18&gt;0, D18/C18, 0)</f>
        <v/>
      </c>
      <c r="F18" s="22" t="n">
        <v>11</v>
      </c>
      <c r="G18" s="22" t="n">
        <v>19.3</v>
      </c>
      <c r="H18" s="23">
        <f>F18-G18</f>
        <v/>
      </c>
    </row>
  </sheetData>
  <conditionalFormatting sqref="E6:E18">
    <cfRule type="colorScale" priority="1">
      <colorScale>
        <cfvo type="num" val="0.04"/>
        <cfvo type="num" val="0.08"/>
        <cfvo type="num" val="0.2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PRODUCT CATEGORY MERCHANDISING PERFORMANCE</t>
        </is>
      </c>
    </row>
    <row r="2">
      <c r="A2" s="2" t="inlineStr">
        <is>
          <t>GMV Volume, Units Sold, Average Selling Price &amp; Portfolio Share</t>
        </is>
      </c>
    </row>
    <row r="3"/>
    <row r="4"/>
    <row r="5">
      <c r="A5" s="24" t="inlineStr">
        <is>
          <t>Product Category</t>
        </is>
      </c>
      <c r="B5" s="25" t="inlineStr">
        <is>
          <t>Units Sold</t>
        </is>
      </c>
      <c r="C5" s="25" t="inlineStr">
        <is>
          <t>Total Revenue (BRL)</t>
        </is>
      </c>
      <c r="D5" s="25" t="inlineStr">
        <is>
          <t>Avg Price (BRL)</t>
        </is>
      </c>
      <c r="E5" s="25" t="inlineStr">
        <is>
          <t>Revenue Share %</t>
        </is>
      </c>
    </row>
    <row r="6">
      <c r="A6" s="21" t="inlineStr">
        <is>
          <t>computers_accessories</t>
        </is>
      </c>
      <c r="B6" s="13" t="n">
        <v>9</v>
      </c>
      <c r="C6" s="12" t="n">
        <v>1385.62</v>
      </c>
      <c r="D6" s="12">
        <f>C6/B6</f>
        <v/>
      </c>
      <c r="E6" s="14">
        <f>C6/$C$26</f>
        <v/>
      </c>
    </row>
    <row r="7">
      <c r="A7" s="21" t="inlineStr">
        <is>
          <t>baby</t>
        </is>
      </c>
      <c r="B7" s="13" t="n">
        <v>8</v>
      </c>
      <c r="C7" s="12" t="n">
        <v>1332.22</v>
      </c>
      <c r="D7" s="12">
        <f>C7/B7</f>
        <v/>
      </c>
      <c r="E7" s="14">
        <f>C7/$C$26</f>
        <v/>
      </c>
    </row>
    <row r="8">
      <c r="A8" s="21" t="inlineStr">
        <is>
          <t>consoles_games</t>
        </is>
      </c>
      <c r="B8" s="13" t="n">
        <v>7</v>
      </c>
      <c r="C8" s="12" t="n">
        <v>1110.77</v>
      </c>
      <c r="D8" s="12">
        <f>C8/B8</f>
        <v/>
      </c>
      <c r="E8" s="14">
        <f>C8/$C$26</f>
        <v/>
      </c>
    </row>
    <row r="9">
      <c r="A9" s="21" t="inlineStr">
        <is>
          <t>fashion_bags_accessories</t>
        </is>
      </c>
      <c r="B9" s="13" t="n">
        <v>9</v>
      </c>
      <c r="C9" s="12" t="n">
        <v>1045.02</v>
      </c>
      <c r="D9" s="12">
        <f>C9/B9</f>
        <v/>
      </c>
      <c r="E9" s="14">
        <f>C9/$C$26</f>
        <v/>
      </c>
    </row>
    <row r="10">
      <c r="A10" s="21" t="inlineStr">
        <is>
          <t>perfumery</t>
        </is>
      </c>
      <c r="B10" s="13" t="n">
        <v>8</v>
      </c>
      <c r="C10" s="12" t="n">
        <v>982.02</v>
      </c>
      <c r="D10" s="12">
        <f>C10/B10</f>
        <v/>
      </c>
      <c r="E10" s="14">
        <f>C10/$C$26</f>
        <v/>
      </c>
    </row>
    <row r="11">
      <c r="A11" s="21" t="inlineStr">
        <is>
          <t>cool_stuff</t>
        </is>
      </c>
      <c r="B11" s="13" t="n">
        <v>7</v>
      </c>
      <c r="C11" s="12" t="n">
        <v>909.24</v>
      </c>
      <c r="D11" s="12">
        <f>C11/B11</f>
        <v/>
      </c>
      <c r="E11" s="14">
        <f>C11/$C$26</f>
        <v/>
      </c>
    </row>
    <row r="12">
      <c r="A12" s="21" t="inlineStr">
        <is>
          <t>auto</t>
        </is>
      </c>
      <c r="B12" s="13" t="n">
        <v>6</v>
      </c>
      <c r="C12" s="12" t="n">
        <v>834.62</v>
      </c>
      <c r="D12" s="12">
        <f>C12/B12</f>
        <v/>
      </c>
      <c r="E12" s="14">
        <f>C12/$C$26</f>
        <v/>
      </c>
    </row>
    <row r="13">
      <c r="A13" s="21" t="inlineStr">
        <is>
          <t>pet_shop</t>
        </is>
      </c>
      <c r="B13" s="13" t="n">
        <v>6</v>
      </c>
      <c r="C13" s="12" t="n">
        <v>612.25</v>
      </c>
      <c r="D13" s="12">
        <f>C13/B13</f>
        <v/>
      </c>
      <c r="E13" s="14">
        <f>C13/$C$26</f>
        <v/>
      </c>
    </row>
    <row r="14">
      <c r="A14" s="21" t="inlineStr">
        <is>
          <t>toys</t>
        </is>
      </c>
      <c r="B14" s="13" t="n">
        <v>6</v>
      </c>
      <c r="C14" s="12" t="n">
        <v>607.66</v>
      </c>
      <c r="D14" s="12">
        <f>C14/B14</f>
        <v/>
      </c>
      <c r="E14" s="14">
        <f>C14/$C$26</f>
        <v/>
      </c>
    </row>
    <row r="15">
      <c r="A15" s="21" t="inlineStr">
        <is>
          <t>telephony</t>
        </is>
      </c>
      <c r="B15" s="13" t="n">
        <v>7</v>
      </c>
      <c r="C15" s="12" t="n">
        <v>515.89</v>
      </c>
      <c r="D15" s="12">
        <f>C15/B15</f>
        <v/>
      </c>
      <c r="E15" s="14">
        <f>C15/$C$26</f>
        <v/>
      </c>
    </row>
    <row r="16">
      <c r="A16" s="21" t="inlineStr">
        <is>
          <t>bed_bath_table</t>
        </is>
      </c>
      <c r="B16" s="13" t="n">
        <v>6</v>
      </c>
      <c r="C16" s="12" t="n">
        <v>497.61</v>
      </c>
      <c r="D16" s="12">
        <f>C16/B16</f>
        <v/>
      </c>
      <c r="E16" s="14">
        <f>C16/$C$26</f>
        <v/>
      </c>
    </row>
    <row r="17">
      <c r="A17" s="21" t="inlineStr">
        <is>
          <t>housewares</t>
        </is>
      </c>
      <c r="B17" s="13" t="n">
        <v>5</v>
      </c>
      <c r="C17" s="12" t="n">
        <v>459.47</v>
      </c>
      <c r="D17" s="12">
        <f>C17/B17</f>
        <v/>
      </c>
      <c r="E17" s="14">
        <f>C17/$C$26</f>
        <v/>
      </c>
    </row>
    <row r="18">
      <c r="A18" s="21" t="inlineStr">
        <is>
          <t>watches_gifts</t>
        </is>
      </c>
      <c r="B18" s="13" t="n">
        <v>2</v>
      </c>
      <c r="C18" s="12" t="n">
        <v>445.09</v>
      </c>
      <c r="D18" s="12">
        <f>C18/B18</f>
        <v/>
      </c>
      <c r="E18" s="14">
        <f>C18/$C$26</f>
        <v/>
      </c>
    </row>
    <row r="19">
      <c r="A19" s="21" t="inlineStr">
        <is>
          <t>luggage_accessories</t>
        </is>
      </c>
      <c r="B19" s="13" t="n">
        <v>3</v>
      </c>
      <c r="C19" s="12" t="n">
        <v>436.39</v>
      </c>
      <c r="D19" s="12">
        <f>C19/B19</f>
        <v/>
      </c>
      <c r="E19" s="14">
        <f>C19/$C$26</f>
        <v/>
      </c>
    </row>
    <row r="20">
      <c r="A20" s="21" t="inlineStr">
        <is>
          <t>stationery</t>
        </is>
      </c>
      <c r="B20" s="13" t="n">
        <v>6</v>
      </c>
      <c r="C20" s="12" t="n">
        <v>410.3</v>
      </c>
      <c r="D20" s="12">
        <f>C20/B20</f>
        <v/>
      </c>
      <c r="E20" s="14">
        <f>C20/$C$26</f>
        <v/>
      </c>
    </row>
    <row r="21">
      <c r="A21" s="21" t="inlineStr">
        <is>
          <t>health_beauty</t>
        </is>
      </c>
      <c r="B21" s="13" t="n">
        <v>3</v>
      </c>
      <c r="C21" s="12" t="n">
        <v>398.08</v>
      </c>
      <c r="D21" s="12">
        <f>C21/B21</f>
        <v/>
      </c>
      <c r="E21" s="14">
        <f>C21/$C$26</f>
        <v/>
      </c>
    </row>
    <row r="22">
      <c r="A22" s="21" t="inlineStr">
        <is>
          <t>furniture_decor</t>
        </is>
      </c>
      <c r="B22" s="13" t="n">
        <v>3</v>
      </c>
      <c r="C22" s="12" t="n">
        <v>346.06</v>
      </c>
      <c r="D22" s="12">
        <f>C22/B22</f>
        <v/>
      </c>
      <c r="E22" s="14">
        <f>C22/$C$26</f>
        <v/>
      </c>
    </row>
    <row r="23">
      <c r="A23" s="21" t="inlineStr">
        <is>
          <t>electronics</t>
        </is>
      </c>
      <c r="B23" s="13" t="n">
        <v>4</v>
      </c>
      <c r="C23" s="12" t="n">
        <v>288.12</v>
      </c>
      <c r="D23" s="12">
        <f>C23/B23</f>
        <v/>
      </c>
      <c r="E23" s="14">
        <f>C23/$C$26</f>
        <v/>
      </c>
    </row>
    <row r="24">
      <c r="A24" s="21" t="inlineStr">
        <is>
          <t>garden_tools</t>
        </is>
      </c>
      <c r="B24" s="13" t="n">
        <v>2</v>
      </c>
      <c r="C24" s="12" t="n">
        <v>221.28</v>
      </c>
      <c r="D24" s="12">
        <f>C24/B24</f>
        <v/>
      </c>
      <c r="E24" s="14">
        <f>C24/$C$26</f>
        <v/>
      </c>
    </row>
    <row r="25">
      <c r="A25" s="21" t="inlineStr">
        <is>
          <t>sports_leisure</t>
        </is>
      </c>
      <c r="B25" s="13" t="n">
        <v>1</v>
      </c>
      <c r="C25" s="12" t="n">
        <v>88.11</v>
      </c>
      <c r="D25" s="12">
        <f>C25/B25</f>
        <v/>
      </c>
      <c r="E25" s="14">
        <f>C25/$C$26</f>
        <v/>
      </c>
    </row>
    <row r="26">
      <c r="A26" s="16" t="inlineStr">
        <is>
          <t>Total Merchandising</t>
        </is>
      </c>
      <c r="B26" s="18">
        <f>SUM(B6:B25)</f>
        <v/>
      </c>
      <c r="C26" s="17">
        <f>SUM(C6:C25)</f>
        <v/>
      </c>
      <c r="D26" s="17">
        <f>C26/B26</f>
        <v/>
      </c>
      <c r="E26" s="19">
        <f>SUM(E6:E25)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CUSTOMER RFM SEGMENTATION &amp; RETENTION COHORTS</t>
        </is>
      </c>
    </row>
    <row r="2">
      <c r="A2" s="2" t="inlineStr">
        <is>
          <t>Customer Value Tiers, Spend Expansion &amp; Repeat Purchase Analysis</t>
        </is>
      </c>
    </row>
    <row r="3"/>
    <row r="4"/>
    <row r="5">
      <c r="A5" s="26" t="inlineStr">
        <is>
          <t>RFM Segment</t>
        </is>
      </c>
      <c r="B5" s="10" t="inlineStr">
        <is>
          <t>Customer Count</t>
        </is>
      </c>
      <c r="C5" s="10" t="inlineStr">
        <is>
          <t>Customer %</t>
        </is>
      </c>
      <c r="D5" s="10" t="inlineStr">
        <is>
          <t>Total Revenue (BRL)</t>
        </is>
      </c>
      <c r="E5" s="10" t="inlineStr">
        <is>
          <t>Revenue %</t>
        </is>
      </c>
      <c r="F5" s="10" t="inlineStr">
        <is>
          <t>Avg Spend / Customer</t>
        </is>
      </c>
      <c r="G5" s="10" t="inlineStr">
        <is>
          <t>Repeat Buyers</t>
        </is>
      </c>
      <c r="H5" s="10" t="inlineStr">
        <is>
          <t>Repeat Rate %</t>
        </is>
      </c>
      <c r="I5" s="10" t="inlineStr">
        <is>
          <t>Avg Recency Days</t>
        </is>
      </c>
    </row>
    <row r="6">
      <c r="A6" s="21" t="inlineStr">
        <is>
          <t>At Risk</t>
        </is>
      </c>
      <c r="B6" s="13" t="n">
        <v>1</v>
      </c>
      <c r="C6" s="14">
        <f>B6/$B$13</f>
        <v/>
      </c>
      <c r="D6" s="12" t="n">
        <v>282.45</v>
      </c>
      <c r="E6" s="14">
        <f>D6/$D$13</f>
        <v/>
      </c>
      <c r="F6" s="12">
        <f>D6/B6</f>
        <v/>
      </c>
      <c r="G6" s="13" t="n">
        <v>1</v>
      </c>
      <c r="H6" s="14">
        <f>G6/B6</f>
        <v/>
      </c>
      <c r="I6" s="22" t="n">
        <v>451</v>
      </c>
    </row>
    <row r="7">
      <c r="A7" s="21" t="inlineStr">
        <is>
          <t>Hibernating High Spenders</t>
        </is>
      </c>
      <c r="B7" s="13" t="n">
        <v>20</v>
      </c>
      <c r="C7" s="14">
        <f>B7/$B$13</f>
        <v/>
      </c>
      <c r="D7" s="12" t="n">
        <v>3340.39</v>
      </c>
      <c r="E7" s="14">
        <f>D7/$D$13</f>
        <v/>
      </c>
      <c r="F7" s="12">
        <f>D7/B7</f>
        <v/>
      </c>
      <c r="G7" s="13" t="n">
        <v>0</v>
      </c>
      <c r="H7" s="14">
        <f>G7/B7</f>
        <v/>
      </c>
      <c r="I7" s="22" t="n">
        <v>566.75</v>
      </c>
    </row>
    <row r="8">
      <c r="A8" s="21" t="inlineStr">
        <is>
          <t>Lost / Inactive</t>
        </is>
      </c>
      <c r="B8" s="13" t="n">
        <v>17</v>
      </c>
      <c r="C8" s="14">
        <f>B8/$B$13</f>
        <v/>
      </c>
      <c r="D8" s="12" t="n">
        <v>1280.08</v>
      </c>
      <c r="E8" s="14">
        <f>D8/$D$13</f>
        <v/>
      </c>
      <c r="F8" s="12">
        <f>D8/B8</f>
        <v/>
      </c>
      <c r="G8" s="13" t="n">
        <v>0</v>
      </c>
      <c r="H8" s="14">
        <f>G8/B8</f>
        <v/>
      </c>
      <c r="I8" s="22" t="n">
        <v>562.7058823529412</v>
      </c>
    </row>
    <row r="9">
      <c r="A9" s="21" t="inlineStr">
        <is>
          <t>Loyal Customers</t>
        </is>
      </c>
      <c r="B9" s="13" t="n">
        <v>2</v>
      </c>
      <c r="C9" s="14">
        <f>B9/$B$13</f>
        <v/>
      </c>
      <c r="D9" s="12" t="n">
        <v>835.6700000000001</v>
      </c>
      <c r="E9" s="14">
        <f>D9/$D$13</f>
        <v/>
      </c>
      <c r="F9" s="12">
        <f>D9/B9</f>
        <v/>
      </c>
      <c r="G9" s="13" t="n">
        <v>2</v>
      </c>
      <c r="H9" s="14">
        <f>G9/B9</f>
        <v/>
      </c>
      <c r="I9" s="22" t="n">
        <v>370.5</v>
      </c>
    </row>
    <row r="10">
      <c r="A10" s="21" t="inlineStr">
        <is>
          <t>Potential Loyalists</t>
        </is>
      </c>
      <c r="B10" s="13" t="n">
        <v>32</v>
      </c>
      <c r="C10" s="14">
        <f>B10/$B$13</f>
        <v/>
      </c>
      <c r="D10" s="12" t="n">
        <v>4503.23</v>
      </c>
      <c r="E10" s="14">
        <f>D10/$D$13</f>
        <v/>
      </c>
      <c r="F10" s="12">
        <f>D10/B10</f>
        <v/>
      </c>
      <c r="G10" s="13" t="n">
        <v>0</v>
      </c>
      <c r="H10" s="14">
        <f>G10/B10</f>
        <v/>
      </c>
      <c r="I10" s="22" t="n">
        <v>122.21875</v>
      </c>
    </row>
    <row r="11">
      <c r="A11" s="21" t="inlineStr">
        <is>
          <t>Promising / Needs Attention</t>
        </is>
      </c>
      <c r="B11" s="13" t="n">
        <v>17</v>
      </c>
      <c r="C11" s="14">
        <f>B11/$B$13</f>
        <v/>
      </c>
      <c r="D11" s="12" t="n">
        <v>2285.26</v>
      </c>
      <c r="E11" s="14">
        <f>D11/$D$13</f>
        <v/>
      </c>
      <c r="F11" s="12">
        <f>D11/B11</f>
        <v/>
      </c>
      <c r="G11" s="13" t="n">
        <v>0</v>
      </c>
      <c r="H11" s="14">
        <f>G11/B11</f>
        <v/>
      </c>
      <c r="I11" s="22" t="n">
        <v>369.0588235294118</v>
      </c>
    </row>
    <row r="12">
      <c r="A12" s="21" t="inlineStr">
        <is>
          <t>Recent New Buyers</t>
        </is>
      </c>
      <c r="B12" s="13" t="n">
        <v>7</v>
      </c>
      <c r="C12" s="14">
        <f>B12/$B$13</f>
        <v/>
      </c>
      <c r="D12" s="12" t="n">
        <v>398.74</v>
      </c>
      <c r="E12" s="14">
        <f>D12/$D$13</f>
        <v/>
      </c>
      <c r="F12" s="12">
        <f>D12/B12</f>
        <v/>
      </c>
      <c r="G12" s="13" t="n">
        <v>0</v>
      </c>
      <c r="H12" s="14">
        <f>G12/B12</f>
        <v/>
      </c>
      <c r="I12" s="22" t="n">
        <v>150.7142857142857</v>
      </c>
    </row>
    <row r="13">
      <c r="A13" s="16" t="inlineStr">
        <is>
          <t>Total Customer Base</t>
        </is>
      </c>
      <c r="B13" s="18">
        <f>SUM(B6:B12)</f>
        <v/>
      </c>
      <c r="C13" s="19">
        <f>SUM(C6:C12)</f>
        <v/>
      </c>
      <c r="D13" s="17">
        <f>SUM(D6:D12)</f>
        <v/>
      </c>
      <c r="E13" s="19">
        <f>SUM(E6:E12)</f>
        <v/>
      </c>
      <c r="F13" s="17">
        <f>D13/B13</f>
        <v/>
      </c>
      <c r="G13" s="18">
        <f>SUM(G6:G12)</f>
        <v/>
      </c>
      <c r="H13" s="19">
        <f>G13/B13</f>
        <v/>
      </c>
      <c r="I13" s="27">
        <f>AVERAGE(I6:I12)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2026-10-28T04:44:54Z</dcterms:created>
  <dcterms:modified xmlns:dcterms="http://purl.org/dc/terms/" xmlns:xsi="http://www.w3.org/2001/XMLSchema-instance" xsi:type="dcterms:W3CDTF">2026-10-28T04:44:54Z</dcterms:modified>
</cp:coreProperties>
</file>